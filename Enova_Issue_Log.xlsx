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postidcac-my.sharepoint.com/personal/roei_tsahi_post_runi_ac_il/Documents/Desktop/1 PROJECT/אני/דאטא סופי/"/>
    </mc:Choice>
  </mc:AlternateContent>
  <xr:revisionPtr revIDLastSave="95" documentId="11_F25DC773A252ABDACC1048FBE95E48A25BDE58E7" xr6:coauthVersionLast="47" xr6:coauthVersionMax="47" xr10:uidLastSave="{D27AB8FB-F906-48F5-94E9-E9BDA02B0EBB}"/>
  <bookViews>
    <workbookView xWindow="-108" yWindow="-108" windowWidth="23256" windowHeight="131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5" i="1"/>
  <c r="E6" i="1"/>
  <c r="E8" i="1"/>
  <c r="E9" i="1"/>
  <c r="E10" i="1"/>
  <c r="E11" i="1"/>
  <c r="E12" i="1"/>
  <c r="E13" i="1"/>
  <c r="E14" i="1"/>
  <c r="E15" i="1"/>
  <c r="E16" i="1"/>
  <c r="E17" i="1"/>
  <c r="E18" i="1"/>
  <c r="E19" i="1"/>
</calcChain>
</file>

<file path=xl/sharedStrings.xml><?xml version="1.0" encoding="utf-8"?>
<sst xmlns="http://schemas.openxmlformats.org/spreadsheetml/2006/main" count="101" uniqueCount="64">
  <si>
    <t>table</t>
  </si>
  <si>
    <t>column</t>
  </si>
  <si>
    <t>issue</t>
  </si>
  <si>
    <t>row count</t>
  </si>
  <si>
    <t>magnitude</t>
  </si>
  <si>
    <t>solvable?</t>
  </si>
  <si>
    <t>resolution</t>
  </si>
  <si>
    <t>Orders</t>
  </si>
  <si>
    <t>PURCHASE_TS</t>
  </si>
  <si>
    <t>Inconsistent date format</t>
  </si>
  <si>
    <t>YES</t>
  </si>
  <si>
    <t>Changed all FULL TIMESTAMP dates to MM/DD/YYYY FOR format consistency</t>
  </si>
  <si>
    <t>PURCHASED_TS had 3 missing values</t>
  </si>
  <si>
    <t>NO</t>
  </si>
  <si>
    <t>Left as is due to low magnitude. Needs to be flagged to the Data Engineering / IT team to investigate the root cause of the missing tracking logs, and to the Operations team for validation of these specific orders.</t>
  </si>
  <si>
    <t>PURCHASE_TS, SHIP_TS, DELIVERY_TS, REFUND_TS</t>
  </si>
  <si>
    <t>MISNAMMED COLUMN -these 4 columns are dates and not  timestamps type so  it's confusing as unable to perform hourly &amp; dayparting analysis.</t>
  </si>
  <si>
    <t>-</t>
  </si>
  <si>
    <t>omitted the 'ts' from the columns names so aliased to PURCHASED_DATE , SHIP_DATE  DELIVERY_DATE  REFUND_DATE .Pending consultation with Data Engineering to check if full timestamps can be recovered from backend logs for future analysis.</t>
  </si>
  <si>
    <t>DAYS_TO_SHIP</t>
  </si>
  <si>
    <t>Nonsensical Data records: Shipping date before purchase date / not sensible number of days to ship (range from 320 to 43837 days) / blanks values</t>
  </si>
  <si>
    <t>Due to the negligible magnitude and the project's focus on Revenue trends rather than Operations, these records are retained to preserve total sales figures. This logical anomaly is flagged for detailed investigation only if future analysis scopes expand to logistics or shipping efficiency.</t>
  </si>
  <si>
    <t>RETURN_WINDOW</t>
  </si>
  <si>
    <t>Return window (Refund Date minus Delivery Date) shows nonsensical values ranging from 670 to 1,795 days (average ~733 days).</t>
  </si>
  <si>
    <t>Retained to preserve historical financial accuracy. Due to the project's focus on Revenue trends rather than Operations, these records are kept to avoid artificially deflating refund totals. Flagged to IT/Data Engineering as a technical logging error.</t>
  </si>
  <si>
    <t>USER_ID, ORDER_ID, &amp; PRODUCT_ID</t>
  </si>
  <si>
    <t>Inappropriate data type of columns</t>
  </si>
  <si>
    <t>Converted columns to Text/String format.</t>
  </si>
  <si>
    <t>PRODUCT_NAME</t>
  </si>
  <si>
    <t>inconsistent spelling between 
27in 4K gaming monitor, 27in"" 4k gaming monitor</t>
  </si>
  <si>
    <t>Corrected product names  for format consistency to -27in 4K Gaming Monitor</t>
  </si>
  <si>
    <t>USD_PRICE</t>
  </si>
  <si>
    <t>missing values or zero values for prices</t>
  </si>
  <si>
    <t>Left as is to preserve total order volume. Pricing could not be reliably inferred due to potential price fluctuations over time. Flagged to Finance and Data Engineering to investigate.</t>
  </si>
  <si>
    <t>MARKETING_CHANNEL</t>
  </si>
  <si>
    <t xml:space="preserve">missing marketing channel </t>
  </si>
  <si>
    <t xml:space="preserve">As there already is "UNKNOWN" category, then blank will be  recategorized to "UNKNOWN" in a new column: MARKETING_CHANNEL_CLEANED </t>
  </si>
  <si>
    <t>MARKETING_CHANNEL_CLEANED</t>
  </si>
  <si>
    <t>unknown marketing channel</t>
  </si>
  <si>
    <t>Maintained as 'UNKNOWN' to reflect ground-truth data. Flagged to the Marketing team as a tracking gap.</t>
  </si>
  <si>
    <t>ACCOUNT_CREATION_METHOD</t>
  </si>
  <si>
    <t>Blank values. Patterns match the missing records in Marketing Channel, indicating a systemic tracking gap for these specific transactions.</t>
  </si>
  <si>
    <t>As there already is "UNKNOWN" category, then blank will be  recategorized to "UNKNOWN" in new ACCOUNT_CREATION_METHOD_CLEANED column</t>
  </si>
  <si>
    <t>ACCOUNT_CREATION_METHOD_CLEANED</t>
  </si>
  <si>
    <t>unknown account creation method</t>
  </si>
  <si>
    <t>Maintained as 'UNKNOWN' to reflect ground-truth data. Flagged to Marketing and Product teams as a tracking gap.</t>
  </si>
  <si>
    <t>COUNTRY_CODE</t>
  </si>
  <si>
    <t>records with blank values or nonsensical country codes (A1, EU, AP).</t>
  </si>
  <si>
    <t>Original COUNTRY_CODE values were retained to maintain data integrity. To ensure regional sales accuracy, 'AP' and 'EU' codes were manually mapped to 'APAC' and 'EMEA' respectively within the REGION_CLEANED column.</t>
  </si>
  <si>
    <t>Country_Region_Lookup</t>
  </si>
  <si>
    <t>REGION</t>
  </si>
  <si>
    <t>Missing region mapping for specific country codes (BJ, BM)</t>
  </si>
  <si>
    <t>Performed manual data enrichment: mapped BJ (Benin) to EMEA and BM (Bermuda) to NA based on ISO standard geographic classifications</t>
  </si>
  <si>
    <t>inconsistent spelling - North America/  NA</t>
  </si>
  <si>
    <t>Corrected 'North America' -&gt; 'NA'  to ensure format consistency :</t>
  </si>
  <si>
    <t>ORDER_ID</t>
  </si>
  <si>
    <t>LOYALTY_PROGRAM</t>
  </si>
  <si>
    <t>CREATED_ON</t>
  </si>
  <si>
    <t>Potential Row-Level Duplication &amp; Unresolved Grain: Identified 15,196 exact duplicate-like records (14.05% of the dataset), where all available fields were identical. Because the source lacks both a LINE_ITEM_ID and QUANTITY field, the available grain cannot reliably distinguish duplicated source events from legitimate purchases of multiple identical items. Removing these records without external validation could therefore understate revenue and item volume.</t>
  </si>
  <si>
    <t>1. Analytical Decision: Retained all duplicate-like records because the available source grain was insufficient to validate them as true duplicates.
2. SQL Diagnostic: Used a ROW_NUMBER() window function across all available fields to isolate exact duplicate candidates for investigation. The diagnostic was not used to remove records from the analytical dataset.
3. Production Follow-up: Validate candidate records against the order-management and payment source before deletion. If a reliable LINE_ITEM_ID is available, ORDER_ID + LINE_ITEM_ID should serve as the primary duplicate-validation key, with ROW_NUMBER() used to identify repeated keys. Data Engineering should also enforce the intended source grain and appropriate uniqueness/idempotency controls upstream.</t>
  </si>
  <si>
    <t>Loyalty Status History Ambiguity (SCD Limitation): 1,026 users appear with both 0 and 1 loyalty values across different transactions. Without an effective-dated membership history, users cannot be reliably classified under a single lifetime status or their exact membership state reconstructed across the full historical timeline.</t>
  </si>
  <si>
    <t>1. Analytical Treatment: Used the loyalty value recorded on each transaction for transaction-level financial reporting such as Revenue and AOV. For long-term behavioral comparisons, a separately defined retrospective Ever-Member cohort was used. The two analytical views were kept separate and were not presented as a reconstructed historical membership timeline.
2. Production Follow-up: Data Engineering should maintain an effective-dated loyalty history, such as an SCD Type 2 or membership-event table containing Valid_From and Valid_To fields. This would support reliable historical membership attribution and future retention/churn analysis.</t>
  </si>
  <si>
    <t>Account Creation Date Integrity Violation: Analysis identified 4,816 users with multiple conflicting CREATED_ON values, including cases where dates regressed chronologically. Because account creation should represent a single immutable event, the field cannot be treated as a reliable account-start timestamp.</t>
  </si>
  <si>
    <t>1. Analytical Decision: Retained the affected records because removing complete transactions due to an unreliable CREATED_ON field would unnecessarily bias otherwise valid sales and order analysis.
2. Analytical Limitation: The unreliable account-creation timestamp prevented reliable tenure-based analysis, including time-to-conversion, Lifetime Value (LTV), and cohort retention.
3. Validation &amp; Production Follow-up: SQL checks showed that CREATED_ON inconsistencies persisted even among users whose loyalty status remained unchanged, confirming that the issue was not explained by loyalty-status changes. In a production environment, the source-system owner / Data Engineering team should validate and persist a canonical, immutable ACCOUNT_CREATED_AT timestamp for downstream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</si>
</sst>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5" formatCode="_(* #,##0_);_(* \(#,##0\);_(* &quot;-&quot;??_);_(@_)"/>
  </numFmts>
  <fonts count="4" x14ac:knownFonts="1">
    <font>
      <sz val="11"/>
      <color theme="1"/>
      <name val="Calibri"/>
      <family val="2"/>
      <scheme val="minor"/>
    </font>
    <font>
      <sz val="11"/>
      <color theme="1"/>
      <name val="Calibri"/>
      <family val="2"/>
      <scheme val="minor"/>
    </font>
    <font>
      <sz val="12"/>
      <color rgb="FF000000"/>
      <name val="Calibri"/>
      <family val="2"/>
      <scheme val="minor"/>
    </font>
    <font>
      <sz val="10"/>
      <color rgb="FF1F1F1F"/>
      <name val="Arial"/>
      <family val="2"/>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2" fillId="2" borderId="0" xfId="0" applyFont="1" applyFill="1" applyAlignment="1">
      <alignment horizontal="center" vertical="center" wrapText="1"/>
    </xf>
    <xf numFmtId="0" fontId="0" fillId="0" borderId="0" xfId="0" applyAlignment="1">
      <alignment horizontal="left"/>
    </xf>
    <xf numFmtId="0" fontId="0" fillId="0" borderId="0" xfId="0" applyAlignment="1">
      <alignment horizontal="left" wrapText="1"/>
    </xf>
    <xf numFmtId="0" fontId="3" fillId="0" borderId="0" xfId="0" applyFont="1" applyAlignment="1">
      <alignment vertical="top" wrapText="1"/>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applyAlignment="1">
      <alignment horizontal="center" vertical="center"/>
    </xf>
    <xf numFmtId="164" fontId="0" fillId="0" borderId="0" xfId="2" applyNumberFormat="1" applyFont="1" applyAlignment="1">
      <alignment horizontal="center" vertical="center"/>
    </xf>
    <xf numFmtId="165" fontId="0" fillId="0" borderId="0" xfId="1" applyNumberFormat="1" applyFont="1" applyAlignment="1">
      <alignment horizontal="center" vertical="center"/>
    </xf>
    <xf numFmtId="3" fontId="0" fillId="0" borderId="0" xfId="0" applyNumberFormat="1" applyAlignment="1">
      <alignment horizontal="center" vertical="center"/>
    </xf>
    <xf numFmtId="10" fontId="1" fillId="0" borderId="0" xfId="2" applyNumberFormat="1" applyFont="1" applyFill="1" applyAlignment="1">
      <alignment horizontal="center" vertical="center"/>
    </xf>
    <xf numFmtId="164" fontId="0" fillId="0" borderId="0" xfId="0" applyNumberFormat="1" applyAlignment="1">
      <alignment horizontal="center" vertical="center"/>
    </xf>
  </cellXfs>
  <cellStyles count="3">
    <cellStyle name="Comma" xfId="1" builtinId="3"/>
    <cellStyle name="Normal" xfId="0" builtinId="0"/>
    <cellStyle name="Percent" xfId="2" builtinId="5"/>
  </cellStyles>
  <dxfs count="15">
    <dxf>
      <font>
        <b val="0"/>
        <i val="0"/>
        <strike val="0"/>
        <condense val="0"/>
        <extend val="0"/>
        <outline val="0"/>
        <shadow val="0"/>
        <u val="none"/>
        <vertAlign val="baseline"/>
        <sz val="11"/>
        <color theme="1"/>
        <name val="Calibri"/>
        <family val="2"/>
        <scheme val="minor"/>
      </font>
      <numFmt numFmtId="164"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bgColor theme="9" tint="0.39994506668294322"/>
        </patternFill>
      </fill>
    </dxf>
    <dxf>
      <font>
        <b/>
        <i val="0"/>
      </font>
      <fill>
        <patternFill>
          <bgColor rgb="FFC00000"/>
        </patternFill>
      </fill>
    </dxf>
    <dxf>
      <fill>
        <patternFill>
          <bgColor theme="9" tint="0.39994506668294322"/>
        </patternFill>
      </fill>
    </dxf>
    <dxf>
      <font>
        <b/>
        <i val="0"/>
      </font>
      <fill>
        <patternFill>
          <bgColor rgb="FFC00000"/>
        </patternFill>
      </fill>
    </dxf>
    <dxf>
      <fill>
        <patternFill>
          <bgColor theme="9" tint="0.39994506668294322"/>
        </patternFill>
      </fill>
    </dxf>
    <dxf>
      <font>
        <b/>
        <i val="0"/>
      </font>
      <fill>
        <patternFill>
          <bgColor rgb="FFC00000"/>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vertical="top" textRotation="0" indent="0" justifyLastLine="0" shrinkToFit="0" readingOrder="0"/>
    </dxf>
    <dxf>
      <font>
        <b val="0"/>
        <i val="0"/>
        <strike val="0"/>
        <condense val="0"/>
        <extend val="0"/>
        <outline val="0"/>
        <shadow val="0"/>
        <u val="none"/>
        <vertAlign val="baseline"/>
        <sz val="12"/>
        <color rgb="FF000000"/>
        <name val="Calibri"/>
        <family val="2"/>
        <scheme val="minor"/>
      </font>
      <fill>
        <patternFill patternType="solid">
          <fgColor indexed="64"/>
          <bgColor theme="7" tint="0.3999755851924192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5BDB28-E81B-4B25-BDD0-C7DCCF9788EA}" name="Table7" displayName="Table7" ref="A1:G19" totalsRowShown="0" headerRowDxfId="14" dataDxfId="13">
  <tableColumns count="7">
    <tableColumn id="1" xr3:uid="{CFD2519F-D72A-4C93-9575-12533EB1B1B9}" name="table" dataDxfId="12"/>
    <tableColumn id="2" xr3:uid="{EFABAC00-2EDD-44E7-9550-9F1F735C3D69}" name="column" dataDxfId="11"/>
    <tableColumn id="3" xr3:uid="{1699682E-5B59-4C23-B936-92FE3B2BA111}" name="issue" dataDxfId="10"/>
    <tableColumn id="4" xr3:uid="{4B28B51F-7AB2-4917-ABEF-36A2CA9B9841}" name="row count" dataDxfId="2"/>
    <tableColumn id="5" xr3:uid="{D2576707-0D31-430A-AC19-364C209108A7}" name="magnitude" dataDxfId="0" dataCellStyle="Percent">
      <calculatedColumnFormula>Table7[[#This Row],[row count]]/108127</calculatedColumnFormula>
    </tableColumn>
    <tableColumn id="6" xr3:uid="{61AAC634-A46B-41B3-8E90-12E92A2F1404}" name="solvable?" dataDxfId="1"/>
    <tableColumn id="7" xr3:uid="{3B04A96D-4145-4AE1-A3D4-E2CBAA67D204}" name="resolution" dataDxfId="9"/>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workbookViewId="0">
      <pane ySplit="1" topLeftCell="A6" activePane="bottomLeft" state="frozen"/>
      <selection pane="bottomLeft" activeCell="E3" sqref="E3"/>
    </sheetView>
  </sheetViews>
  <sheetFormatPr defaultRowHeight="14.4" x14ac:dyDescent="0.3"/>
  <cols>
    <col min="1" max="1" width="21.33203125" bestFit="1" customWidth="1"/>
    <col min="2" max="2" width="37.109375" bestFit="1" customWidth="1"/>
    <col min="3" max="3" width="33.88671875" bestFit="1" customWidth="1"/>
    <col min="4" max="4" width="11.88671875" customWidth="1"/>
    <col min="5" max="5" width="12" customWidth="1"/>
    <col min="6" max="6" width="11.109375" customWidth="1"/>
    <col min="7" max="7" width="77.5546875" customWidth="1"/>
  </cols>
  <sheetData>
    <row r="1" spans="1:7" ht="27" customHeight="1" x14ac:dyDescent="0.3">
      <c r="A1" s="1" t="s">
        <v>0</v>
      </c>
      <c r="B1" s="1" t="s">
        <v>1</v>
      </c>
      <c r="C1" s="1" t="s">
        <v>2</v>
      </c>
      <c r="D1" s="1" t="s">
        <v>3</v>
      </c>
      <c r="E1" s="1" t="s">
        <v>4</v>
      </c>
      <c r="F1" s="1" t="s">
        <v>5</v>
      </c>
      <c r="G1" s="1" t="s">
        <v>6</v>
      </c>
    </row>
    <row r="2" spans="1:7" x14ac:dyDescent="0.3">
      <c r="A2" s="2" t="s">
        <v>7</v>
      </c>
      <c r="B2" s="2" t="s">
        <v>8</v>
      </c>
      <c r="C2" s="6" t="s">
        <v>9</v>
      </c>
      <c r="D2" s="9">
        <v>27</v>
      </c>
      <c r="E2" s="10">
        <f>Table7[[#This Row],[row count]]/108127</f>
        <v>2.4970636381292367E-4</v>
      </c>
      <c r="F2" s="9" t="s">
        <v>10</v>
      </c>
      <c r="G2" s="4" t="s">
        <v>11</v>
      </c>
    </row>
    <row r="3" spans="1:7" ht="43.2" x14ac:dyDescent="0.3">
      <c r="A3" s="2" t="s">
        <v>7</v>
      </c>
      <c r="B3" s="2" t="s">
        <v>8</v>
      </c>
      <c r="C3" s="5" t="s">
        <v>12</v>
      </c>
      <c r="D3" s="9">
        <v>3</v>
      </c>
      <c r="E3" s="10">
        <f>Table7[[#This Row],[row count]]/108127</f>
        <v>2.77451515347693E-5</v>
      </c>
      <c r="F3" s="9" t="s">
        <v>13</v>
      </c>
      <c r="G3" s="7" t="s">
        <v>14</v>
      </c>
    </row>
    <row r="4" spans="1:7" ht="57.6" x14ac:dyDescent="0.3">
      <c r="A4" s="2" t="s">
        <v>7</v>
      </c>
      <c r="B4" s="3" t="s">
        <v>15</v>
      </c>
      <c r="C4" s="5" t="s">
        <v>16</v>
      </c>
      <c r="D4" s="9" t="s">
        <v>17</v>
      </c>
      <c r="E4" s="14" t="s">
        <v>17</v>
      </c>
      <c r="F4" s="9" t="s">
        <v>10</v>
      </c>
      <c r="G4" s="5" t="s">
        <v>18</v>
      </c>
    </row>
    <row r="5" spans="1:7" ht="72" x14ac:dyDescent="0.3">
      <c r="A5" s="2" t="s">
        <v>7</v>
      </c>
      <c r="B5" s="2" t="s">
        <v>19</v>
      </c>
      <c r="C5" s="7" t="s">
        <v>20</v>
      </c>
      <c r="D5" s="9">
        <v>27</v>
      </c>
      <c r="E5" s="10">
        <f>Table7[[#This Row],[row count]]/108127</f>
        <v>2.4970636381292367E-4</v>
      </c>
      <c r="F5" s="9" t="s">
        <v>13</v>
      </c>
      <c r="G5" s="7" t="s">
        <v>21</v>
      </c>
    </row>
    <row r="6" spans="1:7" ht="57.6" x14ac:dyDescent="0.3">
      <c r="A6" s="2" t="s">
        <v>7</v>
      </c>
      <c r="B6" s="2" t="s">
        <v>22</v>
      </c>
      <c r="C6" s="5" t="s">
        <v>23</v>
      </c>
      <c r="D6" s="9">
        <v>5379</v>
      </c>
      <c r="E6" s="10">
        <f>Table7[[#This Row],[row count]]/108127</f>
        <v>4.9747056701841354E-2</v>
      </c>
      <c r="F6" s="9" t="s">
        <v>13</v>
      </c>
      <c r="G6" s="5" t="s">
        <v>24</v>
      </c>
    </row>
    <row r="7" spans="1:7" x14ac:dyDescent="0.3">
      <c r="A7" s="2" t="s">
        <v>7</v>
      </c>
      <c r="B7" s="2" t="s">
        <v>25</v>
      </c>
      <c r="C7" s="6" t="s">
        <v>26</v>
      </c>
      <c r="D7" s="9" t="s">
        <v>17</v>
      </c>
      <c r="E7" s="14" t="s">
        <v>17</v>
      </c>
      <c r="F7" s="9" t="s">
        <v>10</v>
      </c>
      <c r="G7" s="8" t="s">
        <v>27</v>
      </c>
    </row>
    <row r="8" spans="1:7" ht="43.2" x14ac:dyDescent="0.3">
      <c r="A8" s="2" t="s">
        <v>7</v>
      </c>
      <c r="B8" s="2" t="s">
        <v>28</v>
      </c>
      <c r="C8" s="7" t="s">
        <v>29</v>
      </c>
      <c r="D8" s="9">
        <v>23435</v>
      </c>
      <c r="E8" s="10">
        <f>Table7[[#This Row],[row count]]/108127</f>
        <v>0.21673587540577285</v>
      </c>
      <c r="F8" s="9" t="s">
        <v>10</v>
      </c>
      <c r="G8" s="7" t="s">
        <v>30</v>
      </c>
    </row>
    <row r="9" spans="1:7" ht="43.2" x14ac:dyDescent="0.3">
      <c r="A9" s="2" t="s">
        <v>7</v>
      </c>
      <c r="B9" s="2" t="s">
        <v>31</v>
      </c>
      <c r="C9" s="6" t="s">
        <v>32</v>
      </c>
      <c r="D9" s="9">
        <v>158</v>
      </c>
      <c r="E9" s="10">
        <f>Table7[[#This Row],[row count]]/108127</f>
        <v>1.4612446474978498E-3</v>
      </c>
      <c r="F9" s="9" t="s">
        <v>13</v>
      </c>
      <c r="G9" s="7" t="s">
        <v>33</v>
      </c>
    </row>
    <row r="10" spans="1:7" ht="28.8" x14ac:dyDescent="0.3">
      <c r="A10" s="2" t="s">
        <v>7</v>
      </c>
      <c r="B10" s="2" t="s">
        <v>34</v>
      </c>
      <c r="C10" s="5" t="s">
        <v>35</v>
      </c>
      <c r="D10" s="9">
        <v>1387</v>
      </c>
      <c r="E10" s="10">
        <f>Table7[[#This Row],[row count]]/108127</f>
        <v>1.2827508392908339E-2</v>
      </c>
      <c r="F10" s="9" t="s">
        <v>10</v>
      </c>
      <c r="G10" s="5" t="s">
        <v>36</v>
      </c>
    </row>
    <row r="11" spans="1:7" ht="28.8" x14ac:dyDescent="0.3">
      <c r="A11" s="2" t="s">
        <v>7</v>
      </c>
      <c r="B11" s="2" t="s">
        <v>37</v>
      </c>
      <c r="C11" s="5" t="s">
        <v>38</v>
      </c>
      <c r="D11" s="9">
        <v>1469</v>
      </c>
      <c r="E11" s="10">
        <f>Table7[[#This Row],[row count]]/108127</f>
        <v>1.3585875868192033E-2</v>
      </c>
      <c r="F11" s="9" t="s">
        <v>13</v>
      </c>
      <c r="G11" s="5" t="s">
        <v>39</v>
      </c>
    </row>
    <row r="12" spans="1:7" ht="57.6" x14ac:dyDescent="0.3">
      <c r="A12" s="2" t="s">
        <v>7</v>
      </c>
      <c r="B12" s="2" t="s">
        <v>40</v>
      </c>
      <c r="C12" s="5" t="s">
        <v>41</v>
      </c>
      <c r="D12" s="9">
        <v>1387</v>
      </c>
      <c r="E12" s="10">
        <f>Table7[[#This Row],[row count]]/108127</f>
        <v>1.2827508392908339E-2</v>
      </c>
      <c r="F12" s="9" t="s">
        <v>10</v>
      </c>
      <c r="G12" s="5" t="s">
        <v>42</v>
      </c>
    </row>
    <row r="13" spans="1:7" ht="28.8" x14ac:dyDescent="0.3">
      <c r="A13" s="2" t="s">
        <v>7</v>
      </c>
      <c r="B13" s="2" t="s">
        <v>43</v>
      </c>
      <c r="C13" s="5" t="s">
        <v>44</v>
      </c>
      <c r="D13" s="9">
        <v>4287</v>
      </c>
      <c r="E13" s="10">
        <f>Table7[[#This Row],[row count]]/108127</f>
        <v>3.964782154318533E-2</v>
      </c>
      <c r="F13" s="9" t="s">
        <v>13</v>
      </c>
      <c r="G13" s="5" t="s">
        <v>45</v>
      </c>
    </row>
    <row r="14" spans="1:7" ht="43.2" x14ac:dyDescent="0.3">
      <c r="A14" s="2" t="s">
        <v>7</v>
      </c>
      <c r="B14" s="2" t="s">
        <v>46</v>
      </c>
      <c r="C14" s="7" t="s">
        <v>47</v>
      </c>
      <c r="D14" s="9">
        <v>162</v>
      </c>
      <c r="E14" s="10">
        <f>Table7[[#This Row],[row count]]/108127</f>
        <v>1.4982381828775421E-3</v>
      </c>
      <c r="F14" s="9" t="s">
        <v>13</v>
      </c>
      <c r="G14" s="5" t="s">
        <v>48</v>
      </c>
    </row>
    <row r="15" spans="1:7" ht="28.8" x14ac:dyDescent="0.3">
      <c r="A15" s="2" t="s">
        <v>49</v>
      </c>
      <c r="B15" s="2" t="s">
        <v>50</v>
      </c>
      <c r="C15" s="5" t="s">
        <v>51</v>
      </c>
      <c r="D15" s="9">
        <v>2</v>
      </c>
      <c r="E15" s="10">
        <f>Table7[[#This Row],[row count]]/108127</f>
        <v>1.8496767689846199E-5</v>
      </c>
      <c r="F15" s="9" t="s">
        <v>10</v>
      </c>
      <c r="G15" s="7" t="s">
        <v>52</v>
      </c>
    </row>
    <row r="16" spans="1:7" ht="28.8" x14ac:dyDescent="0.3">
      <c r="A16" s="2" t="s">
        <v>49</v>
      </c>
      <c r="B16" s="2" t="s">
        <v>50</v>
      </c>
      <c r="C16" s="5" t="s">
        <v>53</v>
      </c>
      <c r="D16" s="9">
        <v>1</v>
      </c>
      <c r="E16" s="10">
        <f>Table7[[#This Row],[row count]]/108127</f>
        <v>9.2483838449230996E-6</v>
      </c>
      <c r="F16" s="9" t="s">
        <v>10</v>
      </c>
      <c r="G16" s="7" t="s">
        <v>54</v>
      </c>
    </row>
    <row r="17" spans="1:7" ht="201.6" x14ac:dyDescent="0.3">
      <c r="A17" s="2" t="s">
        <v>7</v>
      </c>
      <c r="B17" s="2" t="s">
        <v>55</v>
      </c>
      <c r="C17" s="5" t="s">
        <v>58</v>
      </c>
      <c r="D17" s="11">
        <v>15196</v>
      </c>
      <c r="E17" s="10">
        <f>Table7[[#This Row],[row count]]/108127</f>
        <v>0.14053844090745143</v>
      </c>
      <c r="F17" s="9" t="s">
        <v>13</v>
      </c>
      <c r="G17" s="4" t="s">
        <v>59</v>
      </c>
    </row>
    <row r="18" spans="1:7" ht="144" x14ac:dyDescent="0.3">
      <c r="A18" s="2" t="s">
        <v>7</v>
      </c>
      <c r="B18" s="2" t="s">
        <v>56</v>
      </c>
      <c r="C18" s="5" t="s">
        <v>60</v>
      </c>
      <c r="D18" s="12">
        <v>1026</v>
      </c>
      <c r="E18" s="10">
        <f>Table7[[#This Row],[row count]]/108127</f>
        <v>9.4888418248910995E-3</v>
      </c>
      <c r="F18" s="9" t="s">
        <v>13</v>
      </c>
      <c r="G18" s="5" t="s">
        <v>61</v>
      </c>
    </row>
    <row r="19" spans="1:7" ht="201.6" x14ac:dyDescent="0.3">
      <c r="A19" s="2" t="s">
        <v>7</v>
      </c>
      <c r="B19" s="2" t="s">
        <v>57</v>
      </c>
      <c r="C19" s="5" t="s">
        <v>62</v>
      </c>
      <c r="D19" s="12">
        <v>4816</v>
      </c>
      <c r="E19" s="13">
        <f>Table7[[#This Row],[row count]]/108127</f>
        <v>4.454021659714965E-2</v>
      </c>
      <c r="F19" s="9" t="s">
        <v>13</v>
      </c>
      <c r="G19" s="5" t="s">
        <v>63</v>
      </c>
    </row>
  </sheetData>
  <conditionalFormatting sqref="A18:A19 E18:E19">
    <cfRule type="expression" dxfId="8" priority="3">
      <formula>$F18="NO"</formula>
    </cfRule>
    <cfRule type="expression" dxfId="7" priority="4">
      <formula>$F18="YES"</formula>
    </cfRule>
  </conditionalFormatting>
  <conditionalFormatting sqref="A2:G19">
    <cfRule type="expression" dxfId="6" priority="5">
      <formula>$F2="NO"</formula>
    </cfRule>
    <cfRule type="expression" dxfId="5" priority="6">
      <formula>$F2="YES"</formula>
    </cfRule>
  </conditionalFormatting>
  <conditionalFormatting sqref="F18">
    <cfRule type="expression" dxfId="4" priority="1">
      <formula>$F18="NO"</formula>
    </cfRule>
    <cfRule type="expression" dxfId="3" priority="2">
      <formula>$F18="YES"</formula>
    </cfRule>
  </conditionalFormatting>
  <pageMargins left="0.7" right="0.7" top="0.75" bottom="0.75" header="0.3" footer="0.3"/>
  <ignoredErrors>
    <ignoredError sqref="E4 E7" calculatedColumn="1"/>
  </ignoredError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roee</dc:creator>
  <cp:lastModifiedBy>Roei Tsahi</cp:lastModifiedBy>
  <dcterms:created xsi:type="dcterms:W3CDTF">2015-06-05T18:17:20Z</dcterms:created>
  <dcterms:modified xsi:type="dcterms:W3CDTF">2026-09-15T20:25:03Z</dcterms:modified>
</cp:coreProperties>
</file>