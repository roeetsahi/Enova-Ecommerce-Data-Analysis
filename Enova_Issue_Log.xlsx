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postidcac-my.sharepoint.com/personal/roei_tsahi_post_runi_ac_il/Documents/Desktop/1 PROJECT/אני/דאטא סופי/"/>
    </mc:Choice>
  </mc:AlternateContent>
  <xr:revisionPtr revIDLastSave="50" documentId="11_F25DC773A252ABDACC1048FBE95E48A25BDE58E7" xr6:coauthVersionLast="47" xr6:coauthVersionMax="47" xr10:uidLastSave="{498ED05A-AA89-4B58-9D77-9AF3D3E626F0}"/>
  <bookViews>
    <workbookView xWindow="-108" yWindow="-108" windowWidth="23256" windowHeight="13176" xr2:uid="{00000000-000D-0000-FFFF-FFFF00000000}"/>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 l="1"/>
  <c r="E18" i="1"/>
  <c r="E17" i="1"/>
  <c r="E16" i="1"/>
  <c r="E15" i="1"/>
  <c r="E14" i="1"/>
  <c r="E13" i="1"/>
  <c r="E12" i="1"/>
  <c r="E11" i="1"/>
  <c r="E10" i="1"/>
  <c r="E9" i="1"/>
  <c r="E8" i="1"/>
  <c r="E6" i="1"/>
  <c r="E5" i="1"/>
  <c r="E3" i="1"/>
  <c r="E2" i="1"/>
</calcChain>
</file>

<file path=xl/sharedStrings.xml><?xml version="1.0" encoding="utf-8"?>
<sst xmlns="http://schemas.openxmlformats.org/spreadsheetml/2006/main" count="101" uniqueCount="64">
  <si>
    <t>table</t>
  </si>
  <si>
    <t>column</t>
  </si>
  <si>
    <t>issue</t>
  </si>
  <si>
    <t>row count</t>
  </si>
  <si>
    <t>magnitude</t>
  </si>
  <si>
    <t>solvable?</t>
  </si>
  <si>
    <t>resolution</t>
  </si>
  <si>
    <t>Orders</t>
  </si>
  <si>
    <t>PURCHASE_TS</t>
  </si>
  <si>
    <t>Inconsistent date format</t>
  </si>
  <si>
    <t>YES</t>
  </si>
  <si>
    <t>Changed all FULL TIMESTAMP dates to MM/DD/YYYY FOR format consistency</t>
  </si>
  <si>
    <t>PURCHASED_TS had 3 missing values</t>
  </si>
  <si>
    <t>NO</t>
  </si>
  <si>
    <t>Left as is due to low magnitude. Needs to be flagged to the Data Engineering / IT team to investigate the root cause of the missing tracking logs, and to the Operations team for validation of these specific orders.</t>
  </si>
  <si>
    <t>PURCHASE_TS, SHIP_TS, DELIVERY_TS, REFUND_TS</t>
  </si>
  <si>
    <t>MISNAMMED COLUMN -these 4 columns are dates and not  timestamps type so  it's confusing as unable to perform hourly &amp; dayparting analysis.</t>
  </si>
  <si>
    <t>-</t>
  </si>
  <si>
    <t>omitted the 'ts' from the columns names so aliased to PURCHASED_DATE , SHIP_DATE  DELIVERY_DATE  REFUND_DATE .Pending consultation with Data Engineering to check if full timestamps can be recovered from backend logs for future analysis.</t>
  </si>
  <si>
    <t>DAYS_TO_SHIP</t>
  </si>
  <si>
    <t>Nonsensical Data records: Shipping date before purchase date / not sensible number of days to ship (range from 320 to 43837 days) / blanks values</t>
  </si>
  <si>
    <t>Due to the negligible magnitude and the project's focus on Revenue trends rather than Operations, these records are retained to preserve total sales figures. This logical anomaly is flagged for detailed investigation only if future analysis scopes expand to logistics or shipping efficiency.</t>
  </si>
  <si>
    <t>RETURN_WINDOW</t>
  </si>
  <si>
    <t>Return window (Refund Date minus Delivery Date) shows nonsensical values ranging from 670 to 1,795 days (average ~733 days).</t>
  </si>
  <si>
    <t>Retained to preserve historical financial accuracy. Due to the project's focus on Revenue trends rather than Operations, these records are kept to avoid artificially deflating refund totals. Flagged to IT/Data Engineering as a technical logging error.</t>
  </si>
  <si>
    <t>USER_ID, ORDER_ID, &amp; PRODUCT_ID</t>
  </si>
  <si>
    <t>Inappropriate data type of columns</t>
  </si>
  <si>
    <t>Converted columns to Text/String format.</t>
  </si>
  <si>
    <t>PRODUCT_NAME</t>
  </si>
  <si>
    <t>inconsistent spelling between 
27in 4K gaming monitor, 27in"" 4k gaming monitor</t>
  </si>
  <si>
    <t>Corrected product names  for format consistency to -27in 4K Gaming Monitor</t>
  </si>
  <si>
    <t>USD_PRICE</t>
  </si>
  <si>
    <t>missing values or zero values for prices</t>
  </si>
  <si>
    <t>Left as is to preserve total order volume. Pricing could not be reliably inferred due to potential price fluctuations over time. Flagged to Finance and Data Engineering to investigate.</t>
  </si>
  <si>
    <t>MARKETING_CHANNEL</t>
  </si>
  <si>
    <t xml:space="preserve">missing marketing channel </t>
  </si>
  <si>
    <t xml:space="preserve">As there already is "UNKNOWN" category, then blank will be  recategorized to "UNKNOWN" in a new column: MARKETING_CHANNEL_CLEANED </t>
  </si>
  <si>
    <t>MARKETING_CHANNEL_CLEANED</t>
  </si>
  <si>
    <t>unknown marketing channel</t>
  </si>
  <si>
    <t>Maintained as 'UNKNOWN' to reflect ground-truth data. Flagged to the Marketing team as a tracking gap.</t>
  </si>
  <si>
    <t>ACCOUNT_CREATION_METHOD</t>
  </si>
  <si>
    <t>Blank values. Patterns match the missing records in Marketing Channel, indicating a systemic tracking gap for these specific transactions.</t>
  </si>
  <si>
    <t>As there already is "UNKNOWN" category, then blank will be  recategorized to "UNKNOWN" in new ACCOUNT_CREATION_METHOD_CLEANED column</t>
  </si>
  <si>
    <t>ACCOUNT_CREATION_METHOD_CLEANED</t>
  </si>
  <si>
    <t>unknown account creation method</t>
  </si>
  <si>
    <t>Maintained as 'UNKNOWN' to reflect ground-truth data. Flagged to Marketing and Product teams as a tracking gap.</t>
  </si>
  <si>
    <t>COUNTRY_CODE</t>
  </si>
  <si>
    <t>records with blank values or nonsensical country codes (A1, EU, AP).</t>
  </si>
  <si>
    <t>Original COUNTRY_CODE values were retained to maintain data integrity. To ensure regional sales accuracy, 'AP' and 'EU' codes were manually mapped to 'APAC' and 'EMEA' respectively within the REGION_CLEANED column.</t>
  </si>
  <si>
    <t>Country_Region_Lookup</t>
  </si>
  <si>
    <t>REGION</t>
  </si>
  <si>
    <t>Missing region mapping for specific country codes (BJ, BM)</t>
  </si>
  <si>
    <t>Performed manual data enrichment: mapped BJ (Benin) to EMEA and BM (Bermuda) to NA based on ISO standard geographic classifications</t>
  </si>
  <si>
    <t>inconsistent spelling - North America/  NA</t>
  </si>
  <si>
    <t>Corrected 'North America' -&gt; 'NA'  to ensure format consistency :</t>
  </si>
  <si>
    <t>ORDER_ID</t>
  </si>
  <si>
    <t>Significant Row-Level Redundancy &amp; Broken Granularity: Identified 15,196 exact duplicates (14.05% of dataset) where every column value was identical. The current Order-Product granularity creates severe ambiguity: without a LINE_ITEM_ID or QUANTITY column, it is mathematically impossible to distinguish a technical "double-firing" logging bug from a legitimate purchase of multiple identical items. This poses a major risk for revenue overestimation and analytical bias.</t>
  </si>
  <si>
    <t>1. Business Decision: A 14% exact-duplicate rate is statistically improbable and strongly indicates a system error. I opted to deduplicate these records to prevent severe revenue inflation and protect KPI integrity.
2. Action Taken (SQL Logic): Because standard keys were useless, I executed a surgical deduplication using a SQL CTE with the ROW_NUMBER() window function, partitioned by all columns. Filtering to retain only the first instance (rn = 1) safely collapsed identical retries while retaining unique records.
3. Escalation: In a production environment, before any massive data removal, I would cross-reference these anomalous ORDER_IDs with the payment gateway (e.g., Stripe) to verify actual captured funds. I would then escalate to Data Engineering to investigate the root cause and implement API idempotency keys.</t>
  </si>
  <si>
    <t>LOYALTY_PROGRAM</t>
  </si>
  <si>
    <t>SCD (Slowly Changing Dimension) Ambiguity: 1,026 Users appear with mixed statuses (both '0' and '1') across different orders. This prevents static classification of users as strictly "Member" or "Non-Member" for their entire lifetime.</t>
  </si>
  <si>
    <t>Adopted a Dual-Attribution approach to bypass SCD Limitations:  Due to the absence of a continuous history table (SCD Type 2 for loyalty_program with 'Valid_From' and 'Valid_To' timestamps), I mitigated this without distorting the data by applying two rules:
1. Transaction-Based: Instead of static user classification (which introduces Look-Ahead Bias), financial metrics (Revenue/AOV) are attributed to the exact loyalty status at the moment of purchase.
2. Ever-Member (Cohort): Utilized exclusively for behavioral metrics (Stickiness) to track long-term cadence, regardless of point-in-time toggling.
Strategic Flag to Data Engineering: Recommended implementing an SCD Type 2 tracking table for the loyalty_program field. Logging the exact start and end dates of a user's loyalty status will enable precise, continuous state tracking for future retention and churn modeling.</t>
  </si>
  <si>
    <t>CREATED_ON</t>
  </si>
  <si>
    <t>Data Integrity Violation (Immutable Field Update): Logic dictates 'Account Creation' should be a one-time, immutable event. Analysis revealed 4,816 users with multiple conflicting creation dates, suggesting the field is being overwritten and lacks logical consistency.</t>
  </si>
  <si>
    <t>Excluded from Time-Based Analysis: Retained original values but deemed the field unreliable for 'Time-to-Conversion' or 'Customer Lifetime' metrics. Scrapping these analyses prevented Look-Ahead Bias and misleading Cohort Retention results.
Data Sleuthing &amp; Escalation: SQL tests confirmed this is an independent system bug by isolating users whose Loyalty Status remained completely static, yet their CREATED_ON dates still fluctuated and even regressed chronologically. Flagged to IT/Engineering to implement a permanent, append-only Created_At timestamp.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</si>
</sst>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8" formatCode="0.000%"/>
    <numFmt numFmtId="169" formatCode="_(* #,##0_);_(* \(#,##0\);_(* &quot;-&quot;??_);_(@_)"/>
  </numFmts>
  <fonts count="4" x14ac:knownFonts="1">
    <font>
      <sz val="11"/>
      <color theme="1"/>
      <name val="Calibri"/>
      <family val="2"/>
      <scheme val="minor"/>
    </font>
    <font>
      <sz val="11"/>
      <color theme="1"/>
      <name val="Calibri"/>
      <family val="2"/>
      <scheme val="minor"/>
    </font>
    <font>
      <sz val="12"/>
      <color rgb="FF000000"/>
      <name val="Calibri"/>
      <family val="2"/>
      <scheme val="minor"/>
    </font>
    <font>
      <sz val="10"/>
      <color rgb="FF1F1F1F"/>
      <name val="Arial"/>
      <family val="2"/>
    </font>
  </fonts>
  <fills count="3">
    <fill>
      <patternFill patternType="none"/>
    </fill>
    <fill>
      <patternFill patternType="gray125"/>
    </fill>
    <fill>
      <patternFill patternType="solid">
        <fgColor theme="7" tint="0.39997558519241921"/>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0" fontId="2" fillId="2" borderId="0" xfId="0" applyFont="1" applyFill="1" applyAlignment="1">
      <alignment horizontal="center" vertical="center" wrapText="1"/>
    </xf>
    <xf numFmtId="0" fontId="0" fillId="0" borderId="0" xfId="0" applyAlignment="1">
      <alignment horizontal="left"/>
    </xf>
    <xf numFmtId="0" fontId="0" fillId="0" borderId="0" xfId="0" applyAlignment="1">
      <alignment wrapText="1"/>
    </xf>
    <xf numFmtId="0" fontId="0" fillId="0" borderId="0" xfId="0" applyAlignment="1">
      <alignment horizontal="left" wrapText="1"/>
    </xf>
    <xf numFmtId="0" fontId="3" fillId="0" borderId="0" xfId="0" applyFont="1" applyAlignment="1">
      <alignment wrapText="1"/>
    </xf>
    <xf numFmtId="0" fontId="0" fillId="0" borderId="0" xfId="0" applyAlignment="1">
      <alignment horizontal="center"/>
    </xf>
    <xf numFmtId="168" fontId="0" fillId="0" borderId="0" xfId="2" applyNumberFormat="1" applyFont="1" applyAlignment="1">
      <alignment horizontal="center"/>
    </xf>
    <xf numFmtId="0" fontId="0" fillId="0" borderId="0" xfId="0" applyAlignment="1"/>
    <xf numFmtId="169" fontId="0" fillId="0" borderId="0" xfId="1" applyNumberFormat="1" applyFont="1" applyAlignment="1">
      <alignment horizontal="center"/>
    </xf>
    <xf numFmtId="3" fontId="0" fillId="0" borderId="0" xfId="0" applyNumberFormat="1" applyAlignment="1">
      <alignment horizontal="center"/>
    </xf>
    <xf numFmtId="168" fontId="1" fillId="0" borderId="0" xfId="2" applyNumberFormat="1" applyFont="1" applyFill="1" applyAlignment="1">
      <alignment horizontal="center"/>
    </xf>
  </cellXfs>
  <cellStyles count="3">
    <cellStyle name="Comma" xfId="1" builtinId="3"/>
    <cellStyle name="Normal" xfId="0" builtinId="0"/>
    <cellStyle name="Percent" xfId="2" builtinId="5"/>
  </cellStyles>
  <dxfs count="15">
    <dxf>
      <alignment vertical="bottom" textRotation="0" indent="0" justifyLastLine="0" shrinkToFit="0" readingOrder="0"/>
    </dxf>
    <dxf>
      <alignment horizontal="general" vertical="bottom" textRotation="0" wrapText="1"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8" formatCode="0.000%"/>
      <alignment horizontal="center" vertical="bottom" textRotation="0" wrapText="0" indent="0" justifyLastLine="0" shrinkToFit="0" readingOrder="0"/>
    </dxf>
    <dxf>
      <alignment horizontal="center" vertical="bottom" textRotation="0" indent="0" justifyLastLine="0" shrinkToFit="0" readingOrder="0"/>
    </dxf>
    <dxf>
      <alignment horizontal="general" vertical="bottom"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2"/>
        <color rgb="FF000000"/>
        <name val="Calibri"/>
        <family val="2"/>
        <scheme val="minor"/>
      </font>
      <fill>
        <patternFill patternType="solid">
          <fgColor indexed="64"/>
          <bgColor theme="7" tint="0.39997558519241921"/>
        </patternFill>
      </fill>
      <alignment horizontal="center" vertical="center" textRotation="0" wrapText="1" indent="0" justifyLastLine="0" shrinkToFit="0" readingOrder="0"/>
    </dxf>
    <dxf>
      <fill>
        <patternFill>
          <bgColor theme="9" tint="0.39994506668294322"/>
        </patternFill>
      </fill>
    </dxf>
    <dxf>
      <font>
        <b/>
        <i val="0"/>
      </font>
      <fill>
        <patternFill>
          <bgColor rgb="FFC00000"/>
        </patternFill>
      </fill>
    </dxf>
    <dxf>
      <fill>
        <patternFill>
          <bgColor theme="9" tint="0.39994506668294322"/>
        </patternFill>
      </fill>
    </dxf>
    <dxf>
      <font>
        <b/>
        <i val="0"/>
      </font>
      <fill>
        <patternFill>
          <bgColor rgb="FFC00000"/>
        </patternFill>
      </fill>
    </dxf>
    <dxf>
      <fill>
        <patternFill>
          <bgColor theme="9" tint="0.39994506668294322"/>
        </patternFill>
      </fill>
    </dxf>
    <dxf>
      <font>
        <b/>
        <i val="0"/>
      </font>
      <fill>
        <patternFill>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ostidcac-my.sharepoint.com/personal/roei_tsahi_post_runi_ac_il/Documents/Desktop/1%20PROJECT/&#1488;&#1504;&#1497;/&#1491;&#1488;&#1496;&#1488;%20&#1505;&#1493;&#1508;&#1497;/Enova_Data_and_Issue_Log.xlsx" TargetMode="External"/><Relationship Id="rId1" Type="http://schemas.openxmlformats.org/officeDocument/2006/relationships/externalLinkPath" Target="Enova_Data_and_Issue_Lo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rders_Raw"/>
      <sheetName val="Country_Region_Lookup_raw"/>
      <sheetName val="Issue Log"/>
      <sheetName val="Country_Region_Cleaned"/>
      <sheetName val="Orders_Final_Cleaned"/>
    </sheetNames>
    <sheetDataSet>
      <sheetData sheetId="0"/>
      <sheetData sheetId="1"/>
      <sheetData sheetId="2"/>
      <sheetData sheetId="3"/>
      <sheetData sheetId="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5BDB28-E81B-4B25-BDD0-C7DCCF9788EA}" name="Table7" displayName="Table7" ref="A1:G19" totalsRowShown="0" headerRowDxfId="8" dataDxfId="0">
  <tableColumns count="7">
    <tableColumn id="1" xr3:uid="{CFD2519F-D72A-4C93-9575-12533EB1B1B9}" name="table" dataDxfId="7"/>
    <tableColumn id="2" xr3:uid="{EFABAC00-2EDD-44E7-9550-9F1F735C3D69}" name="column" dataDxfId="6"/>
    <tableColumn id="3" xr3:uid="{1699682E-5B59-4C23-B936-92FE3B2BA111}" name="issue" dataDxfId="5"/>
    <tableColumn id="4" xr3:uid="{4B28B51F-7AB2-4917-ABEF-36A2CA9B9841}" name="row count" dataDxfId="4"/>
    <tableColumn id="5" xr3:uid="{D2576707-0D31-430A-AC19-364C209108A7}" name="magnitude" dataDxfId="3" dataCellStyle="Percent"/>
    <tableColumn id="6" xr3:uid="{61AAC634-A46B-41B3-8E90-12E92A2F1404}" name="solvable?" dataDxfId="2"/>
    <tableColumn id="7" xr3:uid="{3B04A96D-4145-4AE1-A3D4-E2CBAA67D204}" name="resolution" dataDxfId="1"/>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tabSelected="1" workbookViewId="0">
      <pane ySplit="1" topLeftCell="A2" activePane="bottomLeft" state="frozen"/>
      <selection pane="bottomLeft" activeCell="G6" sqref="G6"/>
    </sheetView>
  </sheetViews>
  <sheetFormatPr defaultRowHeight="14.4" x14ac:dyDescent="0.3"/>
  <cols>
    <col min="1" max="1" width="21.33203125" bestFit="1" customWidth="1"/>
    <col min="2" max="2" width="37.109375" bestFit="1" customWidth="1"/>
    <col min="3" max="3" width="33.88671875" bestFit="1" customWidth="1"/>
    <col min="4" max="4" width="11.88671875" customWidth="1"/>
    <col min="5" max="5" width="12" customWidth="1"/>
    <col min="6" max="6" width="11.109375" customWidth="1"/>
    <col min="7" max="7" width="77.5546875" customWidth="1"/>
  </cols>
  <sheetData>
    <row r="1" spans="1:7" ht="27" customHeight="1" x14ac:dyDescent="0.3">
      <c r="A1" s="1" t="s">
        <v>0</v>
      </c>
      <c r="B1" s="1" t="s">
        <v>1</v>
      </c>
      <c r="C1" s="1" t="s">
        <v>2</v>
      </c>
      <c r="D1" s="1" t="s">
        <v>3</v>
      </c>
      <c r="E1" s="1" t="s">
        <v>4</v>
      </c>
      <c r="F1" s="1" t="s">
        <v>5</v>
      </c>
      <c r="G1" s="1" t="s">
        <v>6</v>
      </c>
    </row>
    <row r="2" spans="1:7" x14ac:dyDescent="0.3">
      <c r="A2" s="2" t="s">
        <v>7</v>
      </c>
      <c r="B2" s="2" t="s">
        <v>8</v>
      </c>
      <c r="C2" s="2" t="s">
        <v>9</v>
      </c>
      <c r="D2" s="6">
        <v>27</v>
      </c>
      <c r="E2" s="7">
        <f>D2/COUNTA([1]!Table13[USER_ID])</f>
        <v>2.4970636381292367E-4</v>
      </c>
      <c r="F2" s="6" t="s">
        <v>10</v>
      </c>
      <c r="G2" s="5" t="s">
        <v>11</v>
      </c>
    </row>
    <row r="3" spans="1:7" ht="43.2" x14ac:dyDescent="0.3">
      <c r="A3" s="2" t="s">
        <v>7</v>
      </c>
      <c r="B3" s="2" t="s">
        <v>8</v>
      </c>
      <c r="C3" s="3" t="s">
        <v>12</v>
      </c>
      <c r="D3" s="6">
        <v>3</v>
      </c>
      <c r="E3" s="7">
        <f>D3/COUNTA([1]!Table13[USER_ID])</f>
        <v>2.77451515347693E-5</v>
      </c>
      <c r="F3" s="6" t="s">
        <v>13</v>
      </c>
      <c r="G3" s="4" t="s">
        <v>14</v>
      </c>
    </row>
    <row r="4" spans="1:7" ht="57.6" x14ac:dyDescent="0.3">
      <c r="A4" s="2" t="s">
        <v>7</v>
      </c>
      <c r="B4" s="4" t="s">
        <v>15</v>
      </c>
      <c r="C4" s="3" t="s">
        <v>16</v>
      </c>
      <c r="D4" s="6" t="s">
        <v>17</v>
      </c>
      <c r="E4" s="6" t="s">
        <v>17</v>
      </c>
      <c r="F4" s="6" t="s">
        <v>10</v>
      </c>
      <c r="G4" s="3" t="s">
        <v>18</v>
      </c>
    </row>
    <row r="5" spans="1:7" ht="72" x14ac:dyDescent="0.3">
      <c r="A5" s="2" t="s">
        <v>7</v>
      </c>
      <c r="B5" s="2" t="s">
        <v>19</v>
      </c>
      <c r="C5" s="4" t="s">
        <v>20</v>
      </c>
      <c r="D5" s="6">
        <v>27</v>
      </c>
      <c r="E5" s="7">
        <f>D5/COUNTA([1]!Table13[USER_ID])</f>
        <v>2.4970636381292367E-4</v>
      </c>
      <c r="F5" s="6" t="s">
        <v>13</v>
      </c>
      <c r="G5" s="4" t="s">
        <v>21</v>
      </c>
    </row>
    <row r="6" spans="1:7" ht="57.6" x14ac:dyDescent="0.3">
      <c r="A6" s="2" t="s">
        <v>7</v>
      </c>
      <c r="B6" s="2" t="s">
        <v>22</v>
      </c>
      <c r="C6" s="3" t="s">
        <v>23</v>
      </c>
      <c r="D6" s="6">
        <v>5379</v>
      </c>
      <c r="E6" s="7">
        <f>D6/COUNTA([1]!Table13[USER_ID])</f>
        <v>4.9747056701841354E-2</v>
      </c>
      <c r="F6" s="6" t="s">
        <v>13</v>
      </c>
      <c r="G6" s="3" t="s">
        <v>24</v>
      </c>
    </row>
    <row r="7" spans="1:7" x14ac:dyDescent="0.3">
      <c r="A7" s="2" t="s">
        <v>7</v>
      </c>
      <c r="B7" s="2" t="s">
        <v>25</v>
      </c>
      <c r="C7" s="2" t="s">
        <v>26</v>
      </c>
      <c r="D7" s="6" t="s">
        <v>17</v>
      </c>
      <c r="E7" s="6" t="s">
        <v>17</v>
      </c>
      <c r="F7" s="6" t="s">
        <v>10</v>
      </c>
      <c r="G7" s="8" t="s">
        <v>27</v>
      </c>
    </row>
    <row r="8" spans="1:7" ht="43.2" x14ac:dyDescent="0.3">
      <c r="A8" s="2" t="s">
        <v>7</v>
      </c>
      <c r="B8" s="2" t="s">
        <v>28</v>
      </c>
      <c r="C8" s="4" t="s">
        <v>29</v>
      </c>
      <c r="D8" s="6">
        <v>23435</v>
      </c>
      <c r="E8" s="7">
        <f>D8/COUNTA([1]!Table13[USER_ID])</f>
        <v>0.21673587540577285</v>
      </c>
      <c r="F8" s="6" t="s">
        <v>10</v>
      </c>
      <c r="G8" s="4" t="s">
        <v>30</v>
      </c>
    </row>
    <row r="9" spans="1:7" ht="43.2" x14ac:dyDescent="0.3">
      <c r="A9" s="2" t="s">
        <v>7</v>
      </c>
      <c r="B9" s="2" t="s">
        <v>31</v>
      </c>
      <c r="C9" s="2" t="s">
        <v>32</v>
      </c>
      <c r="D9" s="6">
        <v>158</v>
      </c>
      <c r="E9" s="7">
        <f>D9/COUNTA([1]!Table13[USER_ID])</f>
        <v>1.4612446474978498E-3</v>
      </c>
      <c r="F9" s="6" t="s">
        <v>13</v>
      </c>
      <c r="G9" s="4" t="s">
        <v>33</v>
      </c>
    </row>
    <row r="10" spans="1:7" ht="28.8" x14ac:dyDescent="0.3">
      <c r="A10" s="2" t="s">
        <v>7</v>
      </c>
      <c r="B10" s="2" t="s">
        <v>34</v>
      </c>
      <c r="C10" s="3" t="s">
        <v>35</v>
      </c>
      <c r="D10" s="6">
        <v>1387</v>
      </c>
      <c r="E10" s="7">
        <f>D10/COUNTA([1]!Table13[USER_ID])</f>
        <v>1.2827508392908339E-2</v>
      </c>
      <c r="F10" s="6" t="s">
        <v>10</v>
      </c>
      <c r="G10" s="3" t="s">
        <v>36</v>
      </c>
    </row>
    <row r="11" spans="1:7" ht="28.8" x14ac:dyDescent="0.3">
      <c r="A11" s="2" t="s">
        <v>7</v>
      </c>
      <c r="B11" s="2" t="s">
        <v>37</v>
      </c>
      <c r="C11" s="3" t="s">
        <v>38</v>
      </c>
      <c r="D11" s="6">
        <v>1469</v>
      </c>
      <c r="E11" s="7">
        <f>D11/COUNTA([1]!Table13[USER_ID])</f>
        <v>1.3585875868192033E-2</v>
      </c>
      <c r="F11" s="6" t="s">
        <v>13</v>
      </c>
      <c r="G11" s="3" t="s">
        <v>39</v>
      </c>
    </row>
    <row r="12" spans="1:7" ht="57.6" x14ac:dyDescent="0.3">
      <c r="A12" s="2" t="s">
        <v>7</v>
      </c>
      <c r="B12" s="2" t="s">
        <v>40</v>
      </c>
      <c r="C12" s="3" t="s">
        <v>41</v>
      </c>
      <c r="D12" s="6">
        <v>1387</v>
      </c>
      <c r="E12" s="7">
        <f>D12/COUNTA([1]!Table13[USER_ID])</f>
        <v>1.2827508392908339E-2</v>
      </c>
      <c r="F12" s="6" t="s">
        <v>10</v>
      </c>
      <c r="G12" s="3" t="s">
        <v>42</v>
      </c>
    </row>
    <row r="13" spans="1:7" ht="28.8" x14ac:dyDescent="0.3">
      <c r="A13" s="2" t="s">
        <v>7</v>
      </c>
      <c r="B13" s="2" t="s">
        <v>43</v>
      </c>
      <c r="C13" s="3" t="s">
        <v>44</v>
      </c>
      <c r="D13" s="6">
        <v>4287</v>
      </c>
      <c r="E13" s="7">
        <f>D13/COUNTA([1]!Table13[USER_ID])</f>
        <v>3.964782154318533E-2</v>
      </c>
      <c r="F13" s="6" t="s">
        <v>13</v>
      </c>
      <c r="G13" s="3" t="s">
        <v>45</v>
      </c>
    </row>
    <row r="14" spans="1:7" ht="43.2" x14ac:dyDescent="0.3">
      <c r="A14" s="2" t="s">
        <v>7</v>
      </c>
      <c r="B14" s="2" t="s">
        <v>46</v>
      </c>
      <c r="C14" s="4" t="s">
        <v>47</v>
      </c>
      <c r="D14" s="6">
        <v>162</v>
      </c>
      <c r="E14" s="7">
        <f>D14/COUNTA([1]!Table13[USER_ID])</f>
        <v>1.4982381828775421E-3</v>
      </c>
      <c r="F14" s="6" t="s">
        <v>13</v>
      </c>
      <c r="G14" s="3" t="s">
        <v>48</v>
      </c>
    </row>
    <row r="15" spans="1:7" ht="28.8" x14ac:dyDescent="0.3">
      <c r="A15" s="2" t="s">
        <v>49</v>
      </c>
      <c r="B15" s="2" t="s">
        <v>50</v>
      </c>
      <c r="C15" s="3" t="s">
        <v>51</v>
      </c>
      <c r="D15" s="6">
        <v>2</v>
      </c>
      <c r="E15" s="7">
        <f>D15/COUNTA([1]!Table13[USER_ID])</f>
        <v>1.8496767689846199E-5</v>
      </c>
      <c r="F15" s="6" t="s">
        <v>10</v>
      </c>
      <c r="G15" s="4" t="s">
        <v>52</v>
      </c>
    </row>
    <row r="16" spans="1:7" ht="28.8" x14ac:dyDescent="0.3">
      <c r="A16" s="2" t="s">
        <v>49</v>
      </c>
      <c r="B16" s="2" t="s">
        <v>50</v>
      </c>
      <c r="C16" s="3" t="s">
        <v>53</v>
      </c>
      <c r="D16" s="6">
        <v>1</v>
      </c>
      <c r="E16" s="7">
        <f>D16/COUNTA([1]!Table13[USER_ID])</f>
        <v>9.2483838449230996E-6</v>
      </c>
      <c r="F16" s="6" t="s">
        <v>10</v>
      </c>
      <c r="G16" s="4" t="s">
        <v>54</v>
      </c>
    </row>
    <row r="17" spans="1:7" ht="187.2" x14ac:dyDescent="0.3">
      <c r="A17" s="2" t="s">
        <v>7</v>
      </c>
      <c r="B17" s="2" t="s">
        <v>55</v>
      </c>
      <c r="C17" s="3" t="s">
        <v>56</v>
      </c>
      <c r="D17" s="9">
        <v>15196</v>
      </c>
      <c r="E17" s="7">
        <f>D17/COUNTA([1]!Table13[USER_ID])</f>
        <v>0.14053844090745143</v>
      </c>
      <c r="F17" s="6" t="s">
        <v>10</v>
      </c>
      <c r="G17" s="5" t="s">
        <v>57</v>
      </c>
    </row>
    <row r="18" spans="1:7" ht="158.4" x14ac:dyDescent="0.3">
      <c r="A18" s="2" t="s">
        <v>7</v>
      </c>
      <c r="B18" s="2" t="s">
        <v>58</v>
      </c>
      <c r="C18" s="3" t="s">
        <v>59</v>
      </c>
      <c r="D18" s="10">
        <v>1026</v>
      </c>
      <c r="E18" s="7">
        <f>D18/COUNTA([1]!Table13[USER_ID])</f>
        <v>9.4888418248910995E-3</v>
      </c>
      <c r="F18" s="6" t="s">
        <v>10</v>
      </c>
      <c r="G18" s="3" t="s">
        <v>60</v>
      </c>
    </row>
    <row r="19" spans="1:7" ht="115.2" x14ac:dyDescent="0.3">
      <c r="A19" s="2" t="s">
        <v>7</v>
      </c>
      <c r="B19" s="2" t="s">
        <v>61</v>
      </c>
      <c r="C19" s="3" t="s">
        <v>62</v>
      </c>
      <c r="D19" s="10">
        <v>4816</v>
      </c>
      <c r="E19" s="11">
        <f>D19/COUNTA([1]!Table13[USER_ID])</f>
        <v>4.454021659714965E-2</v>
      </c>
      <c r="F19" s="6" t="s">
        <v>13</v>
      </c>
      <c r="G19" s="3" t="s">
        <v>63</v>
      </c>
    </row>
  </sheetData>
  <conditionalFormatting sqref="A18:A19 E18:E19">
    <cfRule type="expression" dxfId="14" priority="3">
      <formula>$F18="NO"</formula>
    </cfRule>
    <cfRule type="expression" dxfId="13" priority="4">
      <formula>$F18="YES"</formula>
    </cfRule>
  </conditionalFormatting>
  <conditionalFormatting sqref="A2:G19">
    <cfRule type="expression" dxfId="12" priority="5">
      <formula>$F2="NO"</formula>
    </cfRule>
    <cfRule type="expression" dxfId="11" priority="6">
      <formula>$F2="YES"</formula>
    </cfRule>
  </conditionalFormatting>
  <conditionalFormatting sqref="F18">
    <cfRule type="expression" dxfId="10" priority="1">
      <formula>$F18="NO"</formula>
    </cfRule>
    <cfRule type="expression" dxfId="9" priority="2">
      <formula>$F18="YES"</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roee</dc:creator>
  <cp:lastModifiedBy>Roei Tsahi</cp:lastModifiedBy>
  <dcterms:created xsi:type="dcterms:W3CDTF">2015-06-05T18:17:20Z</dcterms:created>
  <dcterms:modified xsi:type="dcterms:W3CDTF">2026-08-22T02:48:08Z</dcterms:modified>
</cp:coreProperties>
</file>